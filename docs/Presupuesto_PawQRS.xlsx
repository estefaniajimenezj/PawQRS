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uestudios\Downloads\"/>
    </mc:Choice>
  </mc:AlternateContent>
  <xr:revisionPtr revIDLastSave="0" documentId="13_ncr:1_{A14B06E1-C613-4A3B-B9E9-A14A4E194D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7" i="1"/>
  <c r="C16" i="1"/>
  <c r="C15" i="1"/>
  <c r="C14" i="1"/>
  <c r="C13" i="1"/>
  <c r="C12" i="1"/>
  <c r="C17" i="1" s="1"/>
  <c r="B6" i="1"/>
  <c r="D16" i="1" l="1"/>
  <c r="E16" i="1" s="1"/>
  <c r="D15" i="1"/>
  <c r="E15" i="1" s="1"/>
  <c r="D13" i="1"/>
  <c r="E13" i="1" s="1"/>
  <c r="D14" i="1"/>
  <c r="E14" i="1" s="1"/>
  <c r="D12" i="1"/>
  <c r="E12" i="1" s="1"/>
  <c r="E17" i="1" l="1"/>
</calcChain>
</file>

<file path=xl/sharedStrings.xml><?xml version="1.0" encoding="utf-8"?>
<sst xmlns="http://schemas.openxmlformats.org/spreadsheetml/2006/main" count="47" uniqueCount="44">
  <si>
    <t>PawQRS - Presupuesto del proyecto</t>
  </si>
  <si>
    <t>Parámetros de cálculo</t>
  </si>
  <si>
    <t>Salario mínimo mensual 2026</t>
  </si>
  <si>
    <t>COP</t>
  </si>
  <si>
    <t>Decreto 0159 de 2026</t>
  </si>
  <si>
    <t>Jornada máxima semanal</t>
  </si>
  <si>
    <t>horas</t>
  </si>
  <si>
    <t>Vigente desde el 15 de julio de 2026</t>
  </si>
  <si>
    <t>Horas laborales mensuales</t>
  </si>
  <si>
    <t>42 / 6 × 30 = 210</t>
  </si>
  <si>
    <t>Valor hora ordinaria</t>
  </si>
  <si>
    <t>COP/hora</t>
  </si>
  <si>
    <t>SMLV / 210, redondeado al peso</t>
  </si>
  <si>
    <t>Horas totales del proyecto</t>
  </si>
  <si>
    <t>Definidas en la guía del proyecto</t>
  </si>
  <si>
    <t>Costo total estimado</t>
  </si>
  <si>
    <t>Valor hora × 50 horas</t>
  </si>
  <si>
    <t>Distribución del presupuesto por integrante</t>
  </si>
  <si>
    <t>Integrante</t>
  </si>
  <si>
    <t>Horas</t>
  </si>
  <si>
    <t>Participación</t>
  </si>
  <si>
    <t>Valor hora</t>
  </si>
  <si>
    <t>Costo estimado</t>
  </si>
  <si>
    <t>Rol principal</t>
  </si>
  <si>
    <t>Estefania Jiménez Jaramillo</t>
  </si>
  <si>
    <t>Líder del proyecto · Gestión de GitHub</t>
  </si>
  <si>
    <t>Santiago Franco Lopez</t>
  </si>
  <si>
    <t>Gestión de archivos · Seguimiento de PQRS</t>
  </si>
  <si>
    <t>Isabela Maria Rodríguez Ramos</t>
  </si>
  <si>
    <t>Interfaz · Comprobante de radicación</t>
  </si>
  <si>
    <t>Daniela Zapata Henao</t>
  </si>
  <si>
    <t>Validaciones · Calidad de datos</t>
  </si>
  <si>
    <t>María Camila Ocampo Rúa</t>
  </si>
  <si>
    <t>Reportes · Estadísticas</t>
  </si>
  <si>
    <t>TOTAL</t>
  </si>
  <si>
    <t>Metodología aplicada</t>
  </si>
  <si>
    <t>Fuentes de referencia</t>
  </si>
  <si>
    <t>Salario mínimo 2026</t>
  </si>
  <si>
    <t>https://dapre.presidencia.gov.co/normativa/normativa/DECRETO%20No.%200159%20DEL%2019%20DE%20FEBRERO%20DE%202026.pdf</t>
  </si>
  <si>
    <t>Jornada máxima de 42 horas</t>
  </si>
  <si>
    <t>https://www.funcionpublica.gov.co/eva/gestornormativo/norma.php?i=166506</t>
  </si>
  <si>
    <t>Referencia de cálculo 210 horas / valor hora</t>
  </si>
  <si>
    <t>https://actualicese.com/jornada-laboral/</t>
  </si>
  <si>
    <t>El presupuesto debe calcularse utilizando el valor hora del salario mínimo vigente en Colombia para 2026 y multiplicándolo por las 50 horas de dedicación del proyecto. Para septiembre de 2026, la jornada máxima es de 42 horas semanales, equivalentes a 210 horas mensuales para este cálculo. El valor hora se redondea al peso: $1.750.905 / 210 = $8.338. Por tanto, el costo estimado del proyecto es $8.338 × 50 = $416.900.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</si>
</sst>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175A2E"/>
      <name val="Carlito"/>
    </font>
    <font>
      <b/>
      <sz val="11"/>
      <color rgb="FF1F293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5D6B"/>
      </patternFill>
    </fill>
    <fill>
      <patternFill patternType="solid">
        <fgColor rgb="FFEFF8F9"/>
      </patternFill>
    </fill>
    <fill>
      <patternFill patternType="solid">
        <fgColor rgb="FF2C8C99"/>
      </patternFill>
    </fill>
    <fill>
      <patternFill patternType="solid">
        <fgColor rgb="FFDDF3E4"/>
      </patternFill>
    </fill>
    <fill>
      <patternFill patternType="solid">
        <fgColor rgb="FFD9EEF1"/>
      </patternFill>
    </fill>
    <fill>
      <patternFill patternType="solid">
        <fgColor rgb="FFFFF9E8"/>
      </patternFill>
    </fill>
    <fill>
      <patternFill patternType="solid">
        <fgColor rgb="FFE7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3" fillId="0" borderId="0" xfId="0" applyFont="1"/>
    <xf numFmtId="0" fontId="3" fillId="3" borderId="0" xfId="0" applyFont="1" applyFill="1"/>
    <xf numFmtId="164" fontId="0" fillId="3" borderId="0" xfId="0" applyNumberFormat="1" applyFill="1"/>
    <xf numFmtId="164" fontId="4" fillId="5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5" fillId="6" borderId="0" xfId="0" applyFont="1" applyFill="1"/>
    <xf numFmtId="0" fontId="1" fillId="2" borderId="0" xfId="0" applyFont="1" applyFill="1" applyAlignment="1">
      <alignment horizontal="center" vertical="center"/>
    </xf>
    <xf numFmtId="0" fontId="2" fillId="4" borderId="0" xfId="0" applyFont="1" applyFill="1"/>
    <xf numFmtId="0" fontId="0" fillId="7" borderId="0" xfId="0" applyFill="1" applyAlignment="1">
      <alignment vertical="center" wrapText="1"/>
    </xf>
    <xf numFmtId="0" fontId="5" fillId="8" borderId="0" xfId="0" applyFont="1" applyFill="1"/>
    <xf numFmtId="0" fontId="3" fillId="6" borderId="0" xfId="0" applyFont="1" applyFill="1"/>
    <xf numFmtId="9" fontId="3" fillId="6" borderId="0" xfId="0" applyNumberFormat="1" applyFont="1" applyFill="1"/>
    <xf numFmtId="164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E24" sqref="E24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30" customWidth="1"/>
    <col min="5" max="5" width="20" customWidth="1"/>
    <col min="6" max="6" width="35.125" customWidth="1"/>
  </cols>
  <sheetData>
    <row r="1" spans="1:6" ht="27.95" customHeight="1">
      <c r="A1" s="12" t="s">
        <v>0</v>
      </c>
      <c r="B1" s="12"/>
      <c r="C1" s="12"/>
      <c r="D1" s="12"/>
      <c r="E1" s="12"/>
      <c r="F1" s="12"/>
    </row>
    <row r="2" spans="1:6" ht="15">
      <c r="A2" s="13" t="s">
        <v>1</v>
      </c>
      <c r="B2" s="13"/>
      <c r="C2" s="13"/>
      <c r="D2" s="13"/>
      <c r="E2" s="13"/>
      <c r="F2" s="13"/>
    </row>
    <row r="3" spans="1:6" ht="15">
      <c r="A3" s="3" t="s">
        <v>2</v>
      </c>
      <c r="B3" s="4">
        <v>1750905</v>
      </c>
      <c r="C3" s="1" t="s">
        <v>3</v>
      </c>
      <c r="D3" s="1" t="s">
        <v>4</v>
      </c>
    </row>
    <row r="4" spans="1:6" ht="15">
      <c r="A4" s="3" t="s">
        <v>5</v>
      </c>
      <c r="B4" s="1">
        <v>42</v>
      </c>
      <c r="C4" s="1" t="s">
        <v>6</v>
      </c>
      <c r="D4" s="1" t="s">
        <v>7</v>
      </c>
    </row>
    <row r="5" spans="1:6" ht="15">
      <c r="A5" s="3" t="s">
        <v>8</v>
      </c>
      <c r="B5" s="1">
        <v>210</v>
      </c>
      <c r="C5" s="1" t="s">
        <v>6</v>
      </c>
      <c r="D5" s="1" t="s">
        <v>9</v>
      </c>
    </row>
    <row r="6" spans="1:6" ht="15">
      <c r="A6" s="3" t="s">
        <v>10</v>
      </c>
      <c r="B6" s="4">
        <f>ROUND(B3/B5,0)</f>
        <v>8338</v>
      </c>
      <c r="C6" s="1" t="s">
        <v>11</v>
      </c>
      <c r="D6" s="1" t="s">
        <v>12</v>
      </c>
    </row>
    <row r="7" spans="1:6" ht="15">
      <c r="A7" s="3" t="s">
        <v>13</v>
      </c>
      <c r="B7" s="1">
        <v>50</v>
      </c>
      <c r="C7" s="1" t="s">
        <v>6</v>
      </c>
      <c r="D7" s="1" t="s">
        <v>14</v>
      </c>
    </row>
    <row r="8" spans="1:6" ht="15.75">
      <c r="A8" s="3" t="s">
        <v>15</v>
      </c>
      <c r="B8" s="5">
        <f>B6*B7</f>
        <v>416900</v>
      </c>
      <c r="C8" s="1" t="s">
        <v>3</v>
      </c>
      <c r="D8" s="1" t="s">
        <v>16</v>
      </c>
    </row>
    <row r="10" spans="1:6" ht="15">
      <c r="A10" s="13" t="s">
        <v>17</v>
      </c>
      <c r="B10" s="13"/>
      <c r="C10" s="13"/>
      <c r="D10" s="13"/>
      <c r="E10" s="13"/>
      <c r="F10" s="13"/>
    </row>
    <row r="11" spans="1:6" ht="30" customHeight="1">
      <c r="A11" s="6" t="s">
        <v>18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</row>
    <row r="12" spans="1:6" ht="30" customHeight="1">
      <c r="A12" s="8" t="s">
        <v>24</v>
      </c>
      <c r="B12" s="8">
        <v>10</v>
      </c>
      <c r="C12" s="9">
        <f>B12/$B$7</f>
        <v>0.2</v>
      </c>
      <c r="D12" s="10">
        <f>$B$6</f>
        <v>8338</v>
      </c>
      <c r="E12" s="10">
        <f>B12*D12</f>
        <v>83380</v>
      </c>
      <c r="F12" s="8" t="s">
        <v>25</v>
      </c>
    </row>
    <row r="13" spans="1:6" ht="30" customHeight="1">
      <c r="A13" s="8" t="s">
        <v>26</v>
      </c>
      <c r="B13" s="8">
        <v>10</v>
      </c>
      <c r="C13" s="9">
        <f>B13/$B$7</f>
        <v>0.2</v>
      </c>
      <c r="D13" s="10">
        <f>$B$6</f>
        <v>8338</v>
      </c>
      <c r="E13" s="10">
        <f>B13*D13</f>
        <v>83380</v>
      </c>
      <c r="F13" s="8" t="s">
        <v>27</v>
      </c>
    </row>
    <row r="14" spans="1:6" ht="30" customHeight="1">
      <c r="A14" s="8" t="s">
        <v>28</v>
      </c>
      <c r="B14" s="8">
        <v>10</v>
      </c>
      <c r="C14" s="9">
        <f>B14/$B$7</f>
        <v>0.2</v>
      </c>
      <c r="D14" s="10">
        <f>$B$6</f>
        <v>8338</v>
      </c>
      <c r="E14" s="10">
        <f>B14*D14</f>
        <v>83380</v>
      </c>
      <c r="F14" s="8" t="s">
        <v>29</v>
      </c>
    </row>
    <row r="15" spans="1:6" ht="30" customHeight="1">
      <c r="A15" s="8" t="s">
        <v>30</v>
      </c>
      <c r="B15" s="8">
        <v>10</v>
      </c>
      <c r="C15" s="9">
        <f>B15/$B$7</f>
        <v>0.2</v>
      </c>
      <c r="D15" s="10">
        <f>$B$6</f>
        <v>8338</v>
      </c>
      <c r="E15" s="10">
        <f>B15*D15</f>
        <v>83380</v>
      </c>
      <c r="F15" s="8" t="s">
        <v>31</v>
      </c>
    </row>
    <row r="16" spans="1:6" ht="30" customHeight="1">
      <c r="A16" s="8" t="s">
        <v>32</v>
      </c>
      <c r="B16" s="8">
        <v>10</v>
      </c>
      <c r="C16" s="9">
        <f>B16/$B$7</f>
        <v>0.2</v>
      </c>
      <c r="D16" s="10">
        <f>$B$6</f>
        <v>8338</v>
      </c>
      <c r="E16" s="10">
        <f>B16*D16</f>
        <v>83380</v>
      </c>
      <c r="F16" s="8" t="s">
        <v>33</v>
      </c>
    </row>
    <row r="17" spans="1:6" ht="15">
      <c r="A17" s="16" t="s">
        <v>34</v>
      </c>
      <c r="B17" s="16">
        <f>SUM(B12:B16)</f>
        <v>50</v>
      </c>
      <c r="C17" s="17">
        <f>SUM(C12:C16)</f>
        <v>1</v>
      </c>
      <c r="D17" s="16"/>
      <c r="E17" s="18">
        <f>SUM(E12:E16)</f>
        <v>416900</v>
      </c>
      <c r="F17" s="11"/>
    </row>
    <row r="19" spans="1:6" ht="15">
      <c r="A19" s="13" t="s">
        <v>35</v>
      </c>
      <c r="B19" s="13"/>
      <c r="C19" s="13"/>
      <c r="D19" s="13"/>
      <c r="E19" s="13"/>
      <c r="F19" s="13"/>
    </row>
    <row r="20" spans="1:6" ht="24" customHeight="1">
      <c r="A20" s="14" t="s">
        <v>43</v>
      </c>
      <c r="B20" s="14"/>
      <c r="C20" s="14"/>
      <c r="D20" s="14"/>
      <c r="E20" s="14"/>
      <c r="F20" s="14"/>
    </row>
    <row r="21" spans="1:6" ht="24" customHeight="1">
      <c r="A21" s="14"/>
      <c r="B21" s="14"/>
      <c r="C21" s="14"/>
      <c r="D21" s="14"/>
      <c r="E21" s="14"/>
      <c r="F21" s="14"/>
    </row>
    <row r="22" spans="1:6" ht="24" customHeight="1">
      <c r="A22" s="14"/>
      <c r="B22" s="14"/>
      <c r="C22" s="14"/>
      <c r="D22" s="14"/>
      <c r="E22" s="14"/>
      <c r="F22" s="14"/>
    </row>
    <row r="23" spans="1:6" ht="24" customHeight="1">
      <c r="A23" s="14"/>
      <c r="B23" s="14"/>
      <c r="C23" s="14"/>
      <c r="D23" s="14"/>
      <c r="E23" s="14"/>
      <c r="F23" s="14"/>
    </row>
    <row r="25" spans="1:6" ht="15">
      <c r="A25" s="15" t="s">
        <v>36</v>
      </c>
      <c r="B25" s="15"/>
      <c r="C25" s="15"/>
      <c r="D25" s="15"/>
      <c r="E25" s="15"/>
      <c r="F25" s="15"/>
    </row>
    <row r="26" spans="1:6" ht="86.25">
      <c r="A26" s="2" t="s">
        <v>37</v>
      </c>
      <c r="B26" s="7" t="s">
        <v>38</v>
      </c>
    </row>
    <row r="27" spans="1:6" ht="43.5">
      <c r="A27" s="2" t="s">
        <v>39</v>
      </c>
      <c r="B27" s="7" t="s">
        <v>40</v>
      </c>
    </row>
    <row r="28" spans="1:6" ht="29.25">
      <c r="A28" s="2" t="s">
        <v>41</v>
      </c>
      <c r="B28" s="7" t="s">
        <v>42</v>
      </c>
    </row>
  </sheetData>
  <mergeCells count="6">
    <mergeCell ref="A20:F23"/>
    <mergeCell ref="A25:F25"/>
    <mergeCell ref="A1:F1"/>
    <mergeCell ref="A2:F2"/>
    <mergeCell ref="A10:F10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Estefanía Jiménez- CAMACOL</cp:lastModifiedBy>
  <dcterms:modified xsi:type="dcterms:W3CDTF">2026-09-19T01:27:02Z</dcterms:modified>
</cp:coreProperties>
</file>